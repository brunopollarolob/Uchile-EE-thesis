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le-my.sharepoint.com/personal/bruno_pollarolo_uchile_cl/Documents/Escritorio/Universidad/uchile-ee-thesis/"/>
    </mc:Choice>
  </mc:AlternateContent>
  <xr:revisionPtr revIDLastSave="233" documentId="8_{B2927232-2800-4DFE-9D2E-776C600784F4}" xr6:coauthVersionLast="47" xr6:coauthVersionMax="47" xr10:uidLastSave="{E42A3C7E-0033-4518-BCA3-40396F9535D7}"/>
  <bookViews>
    <workbookView xWindow="-108" yWindow="-108" windowWidth="23256" windowHeight="12456" xr2:uid="{1E0617D8-6423-4FFD-B40B-AE57EE11F0B1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9" i="1"/>
  <c r="A20" i="1"/>
  <c r="A21" i="1"/>
  <c r="A22" i="1"/>
  <c r="A23" i="1"/>
  <c r="A17" i="1"/>
  <c r="B23" i="1"/>
  <c r="D23" i="1" s="1"/>
  <c r="F22" i="1"/>
  <c r="E22" i="1"/>
  <c r="F21" i="1"/>
  <c r="E21" i="1"/>
  <c r="F20" i="1"/>
  <c r="E20" i="1"/>
  <c r="B19" i="1"/>
  <c r="C19" i="1" s="1"/>
  <c r="E19" i="1" s="1"/>
  <c r="G18" i="1"/>
  <c r="E18" i="1"/>
  <c r="B18" i="1"/>
  <c r="B21" i="1"/>
  <c r="B17" i="1"/>
  <c r="D17" i="1" s="1"/>
  <c r="F17" i="1" s="1"/>
  <c r="C18" i="1"/>
  <c r="D16" i="1"/>
  <c r="F16" i="1" s="1"/>
  <c r="H16" i="1" s="1"/>
  <c r="K16" i="1" s="1"/>
  <c r="C16" i="1"/>
  <c r="E16" i="1" s="1"/>
  <c r="G16" i="1" s="1"/>
  <c r="M16" i="1"/>
  <c r="G5" i="1"/>
  <c r="E5" i="1"/>
  <c r="J8" i="1"/>
  <c r="J10" i="1"/>
  <c r="J11" i="1"/>
  <c r="J12" i="1"/>
  <c r="J9" i="1"/>
  <c r="J6" i="1"/>
  <c r="J7" i="1"/>
  <c r="J5" i="1"/>
  <c r="K6" i="1"/>
  <c r="K7" i="1"/>
  <c r="K5" i="1"/>
  <c r="K9" i="1"/>
  <c r="K10" i="1"/>
  <c r="K11" i="1"/>
  <c r="K12" i="1"/>
  <c r="K8" i="1"/>
  <c r="C23" i="1" l="1"/>
  <c r="E23" i="1" s="1"/>
  <c r="F23" i="1"/>
  <c r="H23" i="1" s="1"/>
  <c r="K23" i="1" s="1"/>
  <c r="B22" i="1"/>
  <c r="D22" i="1" s="1"/>
  <c r="H22" i="1" s="1"/>
  <c r="K22" i="1" s="1"/>
  <c r="D19" i="1"/>
  <c r="C22" i="1"/>
  <c r="J18" i="1"/>
  <c r="D21" i="1"/>
  <c r="H21" i="1" s="1"/>
  <c r="K21" i="1" s="1"/>
  <c r="C21" i="1"/>
  <c r="D18" i="1"/>
  <c r="H17" i="1"/>
  <c r="K17" i="1" s="1"/>
  <c r="C17" i="1"/>
  <c r="B20" i="1"/>
  <c r="C20" i="1" s="1"/>
  <c r="D20" i="1"/>
  <c r="H20" i="1" s="1"/>
  <c r="K20" i="1" s="1"/>
  <c r="I16" i="1"/>
  <c r="G20" i="1"/>
  <c r="J20" i="1" s="1"/>
  <c r="I23" i="1"/>
  <c r="G23" i="1"/>
  <c r="J23" i="1" s="1"/>
  <c r="I21" i="1"/>
  <c r="G21" i="1"/>
  <c r="J21" i="1" s="1"/>
  <c r="J16" i="1"/>
  <c r="G19" i="1"/>
  <c r="J19" i="1" s="1"/>
  <c r="I6" i="1"/>
  <c r="I7" i="1"/>
  <c r="I8" i="1"/>
  <c r="I9" i="1"/>
  <c r="I10" i="1"/>
  <c r="I11" i="1"/>
  <c r="I12" i="1"/>
  <c r="I5" i="1"/>
  <c r="D7" i="1"/>
  <c r="F7" i="1" s="1"/>
  <c r="H7" i="1" s="1"/>
  <c r="D8" i="1"/>
  <c r="C7" i="1"/>
  <c r="C8" i="1"/>
  <c r="C9" i="1"/>
  <c r="C10" i="1"/>
  <c r="C11" i="1"/>
  <c r="C12" i="1"/>
  <c r="E7" i="1"/>
  <c r="G7" i="1" s="1"/>
  <c r="E12" i="1"/>
  <c r="G12" i="1" s="1"/>
  <c r="F8" i="1"/>
  <c r="F6" i="1"/>
  <c r="H6" i="1" s="1"/>
  <c r="H8" i="1"/>
  <c r="E8" i="1"/>
  <c r="G8" i="1" s="1"/>
  <c r="E6" i="1"/>
  <c r="G6" i="1" s="1"/>
  <c r="H11" i="1"/>
  <c r="H12" i="1"/>
  <c r="C6" i="1"/>
  <c r="D12" i="1"/>
  <c r="F12" i="1" s="1"/>
  <c r="B11" i="1"/>
  <c r="D11" i="1" s="1"/>
  <c r="F11" i="1" s="1"/>
  <c r="B10" i="1"/>
  <c r="D10" i="1" s="1"/>
  <c r="F10" i="1" s="1"/>
  <c r="H10" i="1" s="1"/>
  <c r="B9" i="1"/>
  <c r="D9" i="1" s="1"/>
  <c r="F9" i="1" s="1"/>
  <c r="H9" i="1" s="1"/>
  <c r="D6" i="1"/>
  <c r="F5" i="1"/>
  <c r="H5" i="1" s="1"/>
  <c r="F19" i="1" l="1"/>
  <c r="I19" i="1" s="1"/>
  <c r="I22" i="1"/>
  <c r="G22" i="1"/>
  <c r="J22" i="1" s="1"/>
  <c r="F18" i="1"/>
  <c r="H18" i="1" s="1"/>
  <c r="K18" i="1" s="1"/>
  <c r="I18" i="1"/>
  <c r="I20" i="1"/>
  <c r="E17" i="1"/>
  <c r="I17" i="1" s="1"/>
  <c r="E11" i="1"/>
  <c r="G11" i="1" s="1"/>
  <c r="E10" i="1"/>
  <c r="G10" i="1" s="1"/>
  <c r="E9" i="1"/>
  <c r="G9" i="1" s="1"/>
  <c r="H19" i="1" l="1"/>
  <c r="K19" i="1" s="1"/>
  <c r="G17" i="1"/>
  <c r="J17" i="1" s="1"/>
</calcChain>
</file>

<file path=xl/sharedStrings.xml><?xml version="1.0" encoding="utf-8"?>
<sst xmlns="http://schemas.openxmlformats.org/spreadsheetml/2006/main" count="20" uniqueCount="10">
  <si>
    <t>LO (MHz)</t>
  </si>
  <si>
    <t>band start (MHz)</t>
  </si>
  <si>
    <t>band end (MHz)</t>
  </si>
  <si>
    <t>bins start</t>
  </si>
  <si>
    <t>bins end</t>
  </si>
  <si>
    <t>we start</t>
  </si>
  <si>
    <t>we end</t>
  </si>
  <si>
    <t>central bin</t>
  </si>
  <si>
    <t>din_valid start</t>
  </si>
  <si>
    <t>din_valid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</si>
</sst>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8E53-EDA0-4925-B592-431A035FE1B0}">
  <dimension ref="A4:M23"/>
  <sheetViews>
    <sheetView tabSelected="1" zoomScale="110" zoomScaleNormal="110" workbookViewId="0">
      <selection activeCell="A17" sqref="A17:A23"/>
    </sheetView>
  </sheetViews>
  <sheetFormatPr baseColWidth="10" defaultRowHeight="14.4" x14ac:dyDescent="0.3"/>
  <cols>
    <col min="3" max="3" width="14.44140625" customWidth="1"/>
    <col min="4" max="4" width="14" customWidth="1"/>
    <col min="9" max="9" width="14.44140625" customWidth="1"/>
    <col min="10" max="10" width="12.88671875" customWidth="1"/>
  </cols>
  <sheetData>
    <row r="4" spans="1:13" x14ac:dyDescent="0.3">
      <c r="A4">
        <v>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</row>
    <row r="5" spans="1:13" x14ac:dyDescent="0.3">
      <c r="A5">
        <v>0</v>
      </c>
      <c r="C5">
        <v>300</v>
      </c>
      <c r="D5">
        <v>501.6</v>
      </c>
      <c r="E5">
        <f>C5/0.3</f>
        <v>1000</v>
      </c>
      <c r="F5">
        <f t="shared" ref="E5:F12" si="0">D5/0.3</f>
        <v>1672.0000000000002</v>
      </c>
      <c r="G5">
        <f>E5/8</f>
        <v>125</v>
      </c>
      <c r="H5" s="1">
        <f>F5/8</f>
        <v>209.00000000000003</v>
      </c>
      <c r="I5">
        <f>AVERAGE(E5:F5)</f>
        <v>1336</v>
      </c>
      <c r="J5">
        <f>G5+512</f>
        <v>637</v>
      </c>
      <c r="K5" s="1">
        <f>512+H5</f>
        <v>721</v>
      </c>
    </row>
    <row r="6" spans="1:13" x14ac:dyDescent="0.3">
      <c r="A6">
        <v>1</v>
      </c>
      <c r="B6">
        <v>1065.5999999999999</v>
      </c>
      <c r="C6">
        <f>B6-D$5</f>
        <v>563.99999999999989</v>
      </c>
      <c r="D6">
        <f>B6-C$5</f>
        <v>765.59999999999991</v>
      </c>
      <c r="E6">
        <f>C6/0.3</f>
        <v>1879.9999999999998</v>
      </c>
      <c r="F6">
        <f>D6/0.3</f>
        <v>2552</v>
      </c>
      <c r="G6">
        <f t="shared" ref="G6:G12" si="1">E6/8</f>
        <v>234.99999999999997</v>
      </c>
      <c r="H6" s="1">
        <f t="shared" ref="H6:H12" si="2">F6/8</f>
        <v>319</v>
      </c>
      <c r="I6">
        <f t="shared" ref="I6:I12" si="3">AVERAGE(E6:F6)</f>
        <v>2216</v>
      </c>
      <c r="J6">
        <f t="shared" ref="J6:J7" si="4">G6+512</f>
        <v>747</v>
      </c>
      <c r="K6" s="1">
        <f t="shared" ref="K6:K7" si="5">512+H6</f>
        <v>831</v>
      </c>
    </row>
    <row r="7" spans="1:13" x14ac:dyDescent="0.3">
      <c r="A7">
        <v>2</v>
      </c>
      <c r="B7">
        <v>1332</v>
      </c>
      <c r="C7">
        <f t="shared" ref="C7:C8" si="6">B7-D$5</f>
        <v>830.4</v>
      </c>
      <c r="D7">
        <f t="shared" ref="D7:D8" si="7">B7-C$5</f>
        <v>1032</v>
      </c>
      <c r="E7">
        <f t="shared" ref="E7:E8" si="8">C7/0.3</f>
        <v>2768</v>
      </c>
      <c r="F7">
        <f t="shared" ref="F7:F8" si="9">D7/0.3</f>
        <v>3440</v>
      </c>
      <c r="G7">
        <f t="shared" si="1"/>
        <v>346</v>
      </c>
      <c r="H7" s="1">
        <f t="shared" si="2"/>
        <v>430</v>
      </c>
      <c r="I7">
        <f t="shared" si="3"/>
        <v>3104</v>
      </c>
      <c r="J7">
        <f t="shared" si="4"/>
        <v>858</v>
      </c>
      <c r="K7" s="1">
        <f t="shared" si="5"/>
        <v>942</v>
      </c>
    </row>
    <row r="8" spans="1:13" x14ac:dyDescent="0.3">
      <c r="A8">
        <v>3</v>
      </c>
      <c r="B8">
        <v>1600.8</v>
      </c>
      <c r="C8">
        <f t="shared" si="6"/>
        <v>1099.1999999999998</v>
      </c>
      <c r="D8">
        <f t="shared" si="7"/>
        <v>1300.8</v>
      </c>
      <c r="E8">
        <f t="shared" si="8"/>
        <v>3663.9999999999995</v>
      </c>
      <c r="F8">
        <f t="shared" si="9"/>
        <v>4336</v>
      </c>
      <c r="G8">
        <f t="shared" si="1"/>
        <v>457.99999999999994</v>
      </c>
      <c r="H8" s="1">
        <f t="shared" si="2"/>
        <v>542</v>
      </c>
      <c r="I8">
        <f t="shared" si="3"/>
        <v>4000</v>
      </c>
      <c r="J8" s="1">
        <f>G8+512</f>
        <v>970</v>
      </c>
      <c r="K8" s="1">
        <f>H8-512</f>
        <v>30</v>
      </c>
    </row>
    <row r="9" spans="1:13" x14ac:dyDescent="0.3">
      <c r="A9">
        <v>4</v>
      </c>
      <c r="B9">
        <f>B6</f>
        <v>1065.5999999999999</v>
      </c>
      <c r="C9">
        <f>B9+C$5</f>
        <v>1365.6</v>
      </c>
      <c r="D9">
        <f>B9+D$5</f>
        <v>1567.1999999999998</v>
      </c>
      <c r="E9">
        <f t="shared" si="0"/>
        <v>4552</v>
      </c>
      <c r="F9">
        <f t="shared" si="0"/>
        <v>5224</v>
      </c>
      <c r="G9">
        <f t="shared" si="1"/>
        <v>569</v>
      </c>
      <c r="H9" s="1">
        <f t="shared" si="2"/>
        <v>653</v>
      </c>
      <c r="I9">
        <f t="shared" si="3"/>
        <v>4888</v>
      </c>
      <c r="J9" s="1">
        <f>G9-512</f>
        <v>57</v>
      </c>
      <c r="K9" s="1">
        <f t="shared" ref="K9:K12" si="10">H9-512</f>
        <v>141</v>
      </c>
    </row>
    <row r="10" spans="1:13" x14ac:dyDescent="0.3">
      <c r="A10">
        <v>5</v>
      </c>
      <c r="B10">
        <f>B7</f>
        <v>1332</v>
      </c>
      <c r="C10">
        <f>B10+C$5</f>
        <v>1632</v>
      </c>
      <c r="D10">
        <f>B10+D$5</f>
        <v>1833.6</v>
      </c>
      <c r="E10">
        <f t="shared" si="0"/>
        <v>5440</v>
      </c>
      <c r="F10">
        <f t="shared" si="0"/>
        <v>6112</v>
      </c>
      <c r="G10">
        <f t="shared" si="1"/>
        <v>680</v>
      </c>
      <c r="H10" s="1">
        <f t="shared" si="2"/>
        <v>764</v>
      </c>
      <c r="I10">
        <f t="shared" si="3"/>
        <v>5776</v>
      </c>
      <c r="J10" s="1">
        <f t="shared" ref="J10:J12" si="11">G10-512</f>
        <v>168</v>
      </c>
      <c r="K10" s="1">
        <f t="shared" si="10"/>
        <v>252</v>
      </c>
    </row>
    <row r="11" spans="1:13" x14ac:dyDescent="0.3">
      <c r="A11">
        <v>6</v>
      </c>
      <c r="B11">
        <f>B8</f>
        <v>1600.8</v>
      </c>
      <c r="C11">
        <f>B11+C$5</f>
        <v>1900.8</v>
      </c>
      <c r="D11">
        <f>B11+D$5</f>
        <v>2102.4</v>
      </c>
      <c r="E11">
        <f t="shared" si="0"/>
        <v>6336</v>
      </c>
      <c r="F11">
        <f t="shared" si="0"/>
        <v>7008.0000000000009</v>
      </c>
      <c r="G11">
        <f t="shared" si="1"/>
        <v>792</v>
      </c>
      <c r="H11" s="1">
        <f t="shared" si="2"/>
        <v>876.00000000000011</v>
      </c>
      <c r="I11">
        <f t="shared" si="3"/>
        <v>6672</v>
      </c>
      <c r="J11" s="1">
        <f t="shared" si="11"/>
        <v>280</v>
      </c>
      <c r="K11" s="1">
        <f t="shared" si="10"/>
        <v>364.00000000000011</v>
      </c>
    </row>
    <row r="12" spans="1:13" x14ac:dyDescent="0.3">
      <c r="A12">
        <v>7</v>
      </c>
      <c r="B12">
        <v>1864.8</v>
      </c>
      <c r="C12">
        <f>B12+C$5</f>
        <v>2164.8000000000002</v>
      </c>
      <c r="D12">
        <f>B12+D$5</f>
        <v>2366.4</v>
      </c>
      <c r="E12">
        <f t="shared" si="0"/>
        <v>7216.0000000000009</v>
      </c>
      <c r="F12">
        <f t="shared" si="0"/>
        <v>7888.0000000000009</v>
      </c>
      <c r="G12">
        <f t="shared" si="1"/>
        <v>902.00000000000011</v>
      </c>
      <c r="H12" s="1">
        <f t="shared" si="2"/>
        <v>986.00000000000011</v>
      </c>
      <c r="I12">
        <f t="shared" si="3"/>
        <v>7552.0000000000009</v>
      </c>
      <c r="J12" s="1">
        <f t="shared" si="11"/>
        <v>390.00000000000011</v>
      </c>
      <c r="K12" s="1">
        <f t="shared" si="10"/>
        <v>474.00000000000011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</row>
    <row r="16" spans="1:13" x14ac:dyDescent="0.3">
      <c r="C16">
        <f>123*8*M16</f>
        <v>300.29296875</v>
      </c>
      <c r="D16">
        <f>C16+82*8*M16</f>
        <v>500.48828125</v>
      </c>
      <c r="E16">
        <f>C16/(2500/8192)</f>
        <v>984</v>
      </c>
      <c r="F16">
        <f>D16/M16</f>
        <v>1640</v>
      </c>
      <c r="G16">
        <f>E16/8</f>
        <v>123</v>
      </c>
      <c r="H16" s="1">
        <f>F16/8</f>
        <v>205</v>
      </c>
      <c r="I16">
        <f>AVERAGE(E16:F16)</f>
        <v>1312</v>
      </c>
      <c r="J16">
        <f>G16+512</f>
        <v>635</v>
      </c>
      <c r="K16" s="1">
        <f>512+H16</f>
        <v>717</v>
      </c>
      <c r="M16">
        <f>2500/8192</f>
        <v>0.30517578125</v>
      </c>
    </row>
    <row r="17" spans="1:11" x14ac:dyDescent="0.3">
      <c r="A17">
        <f>B17/M$16</f>
        <v>3496</v>
      </c>
      <c r="B17">
        <f>M16*(3496)</f>
        <v>1066.89453125</v>
      </c>
      <c r="C17">
        <f>B17-D$16</f>
        <v>566.40625</v>
      </c>
      <c r="D17">
        <f>B17-C$16</f>
        <v>766.6015625</v>
      </c>
      <c r="E17">
        <f>C17/M16</f>
        <v>1856</v>
      </c>
      <c r="F17">
        <f>D17/M16</f>
        <v>2512</v>
      </c>
      <c r="G17">
        <f t="shared" ref="G17:G23" si="12">E17/8</f>
        <v>232</v>
      </c>
      <c r="H17" s="1">
        <f t="shared" ref="H17:H23" si="13">F17/8</f>
        <v>314</v>
      </c>
      <c r="I17">
        <f t="shared" ref="I17:I23" si="14">AVERAGE(E17:F17)</f>
        <v>2184</v>
      </c>
      <c r="J17">
        <f t="shared" ref="J17:J18" si="15">G17+512</f>
        <v>744</v>
      </c>
      <c r="K17" s="1">
        <f t="shared" ref="K17:K18" si="16">512+H17</f>
        <v>826</v>
      </c>
    </row>
    <row r="18" spans="1:11" x14ac:dyDescent="0.3">
      <c r="A18">
        <f t="shared" ref="A18:A23" si="17">B18/M$16</f>
        <v>4368</v>
      </c>
      <c r="B18">
        <f>M16*(8*546)</f>
        <v>1333.0078125</v>
      </c>
      <c r="C18">
        <f>B18-D$16</f>
        <v>832.51953125</v>
      </c>
      <c r="D18">
        <f>B18-C$16</f>
        <v>1032.71484375</v>
      </c>
      <c r="E18">
        <f>C18/M16</f>
        <v>2728</v>
      </c>
      <c r="F18">
        <f>D18/M16</f>
        <v>3384</v>
      </c>
      <c r="G18">
        <f>E18/8</f>
        <v>341</v>
      </c>
      <c r="H18" s="1">
        <f t="shared" si="13"/>
        <v>423</v>
      </c>
      <c r="I18">
        <f t="shared" si="14"/>
        <v>3056</v>
      </c>
      <c r="J18">
        <f t="shared" si="15"/>
        <v>853</v>
      </c>
      <c r="K18" s="1">
        <f t="shared" si="16"/>
        <v>935</v>
      </c>
    </row>
    <row r="19" spans="1:11" x14ac:dyDescent="0.3">
      <c r="A19">
        <f t="shared" si="17"/>
        <v>5248</v>
      </c>
      <c r="B19">
        <f>M16*(8*656)</f>
        <v>1601.5625</v>
      </c>
      <c r="C19">
        <f>B19-D$16</f>
        <v>1101.07421875</v>
      </c>
      <c r="D19">
        <f>B19-C$16</f>
        <v>1301.26953125</v>
      </c>
      <c r="E19">
        <f>C19/M16</f>
        <v>3608</v>
      </c>
      <c r="F19">
        <f>D19/M16</f>
        <v>4264</v>
      </c>
      <c r="G19">
        <f t="shared" si="12"/>
        <v>451</v>
      </c>
      <c r="H19" s="1">
        <f t="shared" si="13"/>
        <v>533</v>
      </c>
      <c r="I19">
        <f t="shared" si="14"/>
        <v>3936</v>
      </c>
      <c r="J19" s="1">
        <f>G19+512</f>
        <v>963</v>
      </c>
      <c r="K19" s="1">
        <f>H19-512</f>
        <v>21</v>
      </c>
    </row>
    <row r="20" spans="1:11" x14ac:dyDescent="0.3">
      <c r="A20">
        <f t="shared" si="17"/>
        <v>3496</v>
      </c>
      <c r="B20">
        <f>B17</f>
        <v>1066.89453125</v>
      </c>
      <c r="C20">
        <f>B20+C$16</f>
        <v>1367.1875</v>
      </c>
      <c r="D20">
        <f>B20+D$16</f>
        <v>1567.3828125</v>
      </c>
      <c r="E20">
        <f>C20/M16</f>
        <v>4480</v>
      </c>
      <c r="F20">
        <f>D20/M16</f>
        <v>5136</v>
      </c>
      <c r="G20">
        <f t="shared" si="12"/>
        <v>560</v>
      </c>
      <c r="H20" s="1">
        <f t="shared" si="13"/>
        <v>642</v>
      </c>
      <c r="I20">
        <f t="shared" si="14"/>
        <v>4808</v>
      </c>
      <c r="J20" s="1">
        <f>G20-512</f>
        <v>48</v>
      </c>
      <c r="K20" s="1">
        <f t="shared" ref="K20:K23" si="18">H20-512</f>
        <v>130</v>
      </c>
    </row>
    <row r="21" spans="1:11" x14ac:dyDescent="0.3">
      <c r="A21">
        <f t="shared" si="17"/>
        <v>4368</v>
      </c>
      <c r="B21">
        <f>B18</f>
        <v>1333.0078125</v>
      </c>
      <c r="C21">
        <f>B21+C$16</f>
        <v>1633.30078125</v>
      </c>
      <c r="D21">
        <f>B21+D$16</f>
        <v>1833.49609375</v>
      </c>
      <c r="E21">
        <f>C21/M16</f>
        <v>5352</v>
      </c>
      <c r="F21">
        <f>D21/M16</f>
        <v>6008</v>
      </c>
      <c r="G21">
        <f t="shared" si="12"/>
        <v>669</v>
      </c>
      <c r="H21" s="1">
        <f t="shared" si="13"/>
        <v>751</v>
      </c>
      <c r="I21">
        <f t="shared" si="14"/>
        <v>5680</v>
      </c>
      <c r="J21" s="1">
        <f t="shared" ref="J21:J23" si="19">G21-512</f>
        <v>157</v>
      </c>
      <c r="K21" s="1">
        <f t="shared" si="18"/>
        <v>239</v>
      </c>
    </row>
    <row r="22" spans="1:11" x14ac:dyDescent="0.3">
      <c r="A22">
        <f t="shared" si="17"/>
        <v>5248</v>
      </c>
      <c r="B22">
        <f>B19</f>
        <v>1601.5625</v>
      </c>
      <c r="C22">
        <f>B22+C$16</f>
        <v>1901.85546875</v>
      </c>
      <c r="D22">
        <f>B22+D$16</f>
        <v>2102.05078125</v>
      </c>
      <c r="E22">
        <f>C22/M16</f>
        <v>6232</v>
      </c>
      <c r="F22">
        <f>D22/M16</f>
        <v>6888</v>
      </c>
      <c r="G22">
        <f t="shared" si="12"/>
        <v>779</v>
      </c>
      <c r="H22" s="1">
        <f t="shared" si="13"/>
        <v>861</v>
      </c>
      <c r="I22">
        <f t="shared" si="14"/>
        <v>6560</v>
      </c>
      <c r="J22" s="1">
        <f t="shared" si="19"/>
        <v>267</v>
      </c>
      <c r="K22" s="1">
        <f t="shared" si="18"/>
        <v>349</v>
      </c>
    </row>
    <row r="23" spans="1:11" x14ac:dyDescent="0.3">
      <c r="A23">
        <f t="shared" si="17"/>
        <v>6112</v>
      </c>
      <c r="B23">
        <f>M16*(8*764)</f>
        <v>1865.234375</v>
      </c>
      <c r="C23">
        <f>B23+C$16</f>
        <v>2165.52734375</v>
      </c>
      <c r="D23">
        <f>B23+D$16</f>
        <v>2365.72265625</v>
      </c>
      <c r="E23">
        <f>C23/M16</f>
        <v>7096</v>
      </c>
      <c r="F23">
        <f>D23/M16</f>
        <v>7752</v>
      </c>
      <c r="G23">
        <f t="shared" si="12"/>
        <v>887</v>
      </c>
      <c r="H23" s="1">
        <f t="shared" si="13"/>
        <v>969</v>
      </c>
      <c r="I23">
        <f t="shared" si="14"/>
        <v>7424</v>
      </c>
      <c r="J23" s="1">
        <f t="shared" si="19"/>
        <v>375</v>
      </c>
      <c r="K23" s="1">
        <f t="shared" si="18"/>
        <v>457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Aldo Pollarolo Buschmann (bruno.pollarolo)</dc:creator>
  <cp:lastModifiedBy>Bruno Aldo Pollarolo Buschmann (bruno.pollarolo)</cp:lastModifiedBy>
  <dcterms:created xsi:type="dcterms:W3CDTF">2025-09-18T15:34:00Z</dcterms:created>
  <dcterms:modified xsi:type="dcterms:W3CDTF">2025-12-12T13:37:53Z</dcterms:modified>
</cp:coreProperties>
</file>