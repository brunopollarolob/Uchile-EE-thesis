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uchile-my.sharepoint.com/personal/bruno_pollarolo_uchile_cl/Documents/Escritorio/Universidad/uchile-ee-thesis/"/>
    </mc:Choice>
  </mc:AlternateContent>
  <xr:revisionPtr revIDLastSave="132" documentId="8_{B2927232-2800-4DFE-9D2E-776C600784F4}" xr6:coauthVersionLast="47" xr6:coauthVersionMax="47" xr10:uidLastSave="{9D73FAFB-2FCD-4D21-83EA-2C1935EA4838}"/>
  <bookViews>
    <workbookView xWindow="-108" yWindow="-108" windowWidth="23256" windowHeight="12456" xr2:uid="{1E0617D8-6423-4FFD-B40B-AE57EE11F0B1}"/>
  </bookViews>
  <sheets>
    <sheet name="Hoja1" sheetId="1" r:id="rId1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8" i="1" l="1"/>
  <c r="J10" i="1"/>
  <c r="J11" i="1"/>
  <c r="J12" i="1"/>
  <c r="J9" i="1"/>
  <c r="J6" i="1"/>
  <c r="J7" i="1"/>
  <c r="J5" i="1"/>
  <c r="K6" i="1"/>
  <c r="K7" i="1"/>
  <c r="K5" i="1"/>
  <c r="K9" i="1"/>
  <c r="K10" i="1"/>
  <c r="K11" i="1"/>
  <c r="K12" i="1"/>
  <c r="K8" i="1"/>
  <c r="I6" i="1" l="1"/>
  <c r="I7" i="1"/>
  <c r="I8" i="1"/>
  <c r="I9" i="1"/>
  <c r="I10" i="1"/>
  <c r="I11" i="1"/>
  <c r="I12" i="1"/>
  <c r="I5" i="1"/>
  <c r="D7" i="1"/>
  <c r="F7" i="1" s="1"/>
  <c r="H7" i="1" s="1"/>
  <c r="D8" i="1"/>
  <c r="C7" i="1"/>
  <c r="C8" i="1"/>
  <c r="C9" i="1"/>
  <c r="C10" i="1"/>
  <c r="C11" i="1"/>
  <c r="C12" i="1"/>
  <c r="E7" i="1"/>
  <c r="G7" i="1" s="1"/>
  <c r="E12" i="1"/>
  <c r="G12" i="1" s="1"/>
  <c r="F8" i="1"/>
  <c r="F6" i="1"/>
  <c r="H6" i="1" s="1"/>
  <c r="H8" i="1"/>
  <c r="E8" i="1"/>
  <c r="G8" i="1" s="1"/>
  <c r="E6" i="1"/>
  <c r="G6" i="1" s="1"/>
  <c r="H11" i="1"/>
  <c r="H12" i="1"/>
  <c r="G5" i="1"/>
  <c r="C6" i="1"/>
  <c r="D12" i="1"/>
  <c r="F12" i="1" s="1"/>
  <c r="B11" i="1"/>
  <c r="D11" i="1" s="1"/>
  <c r="F11" i="1" s="1"/>
  <c r="B10" i="1"/>
  <c r="D10" i="1" s="1"/>
  <c r="F10" i="1" s="1"/>
  <c r="H10" i="1" s="1"/>
  <c r="B9" i="1"/>
  <c r="D9" i="1" s="1"/>
  <c r="F9" i="1" s="1"/>
  <c r="H9" i="1" s="1"/>
  <c r="D6" i="1"/>
  <c r="F5" i="1"/>
  <c r="H5" i="1" s="1"/>
  <c r="E5" i="1"/>
  <c r="E11" i="1" l="1"/>
  <c r="G11" i="1" s="1"/>
  <c r="E10" i="1"/>
  <c r="G10" i="1" s="1"/>
  <c r="E9" i="1"/>
  <c r="G9" i="1" s="1"/>
</calcChain>
</file>

<file path=xl/sharedStrings.xml><?xml version="1.0" encoding="utf-8"?>
<sst xmlns="http://schemas.openxmlformats.org/spreadsheetml/2006/main" count="10" uniqueCount="10">
  <si>
    <t>LO (MHz)</t>
  </si>
  <si>
    <t>band start (MHz)</t>
  </si>
  <si>
    <t>band end (MHz)</t>
  </si>
  <si>
    <t>bins start</t>
  </si>
  <si>
    <t>bins end</t>
  </si>
  <si>
    <t>we start</t>
  </si>
  <si>
    <t>we end</t>
  </si>
  <si>
    <t>central bin</t>
  </si>
  <si>
    <t>fifo we start</t>
  </si>
  <si>
    <t>fifo we 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</si>
</sst>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C8E53-EDA0-4925-B592-431A035FE1B0}">
  <dimension ref="A4:K12"/>
  <sheetViews>
    <sheetView tabSelected="1" workbookViewId="0">
      <selection activeCell="J9" sqref="J9"/>
    </sheetView>
  </sheetViews>
  <sheetFormatPr baseColWidth="10" defaultRowHeight="14.4" x14ac:dyDescent="0.3"/>
  <cols>
    <col min="3" max="3" width="14.44140625" customWidth="1"/>
    <col min="4" max="4" width="14" customWidth="1"/>
    <col min="9" max="9" width="14.44140625" customWidth="1"/>
    <col min="10" max="10" width="12.88671875" customWidth="1"/>
  </cols>
  <sheetData>
    <row r="4" spans="1:11" x14ac:dyDescent="0.3">
      <c r="A4">
        <v>0</v>
      </c>
      <c r="B4" t="s">
        <v>0</v>
      </c>
      <c r="C4" t="s">
        <v>1</v>
      </c>
      <c r="D4" t="s">
        <v>2</v>
      </c>
      <c r="E4" t="s">
        <v>3</v>
      </c>
      <c r="F4" t="s">
        <v>4</v>
      </c>
      <c r="G4" t="s">
        <v>5</v>
      </c>
      <c r="H4" t="s">
        <v>6</v>
      </c>
      <c r="I4" t="s">
        <v>7</v>
      </c>
      <c r="J4" t="s">
        <v>8</v>
      </c>
      <c r="K4" t="s">
        <v>9</v>
      </c>
    </row>
    <row r="5" spans="1:11" x14ac:dyDescent="0.3">
      <c r="A5">
        <v>0</v>
      </c>
      <c r="C5">
        <v>300</v>
      </c>
      <c r="D5">
        <v>501.6</v>
      </c>
      <c r="E5">
        <f t="shared" ref="E5:F12" si="0">C5/0.3</f>
        <v>1000</v>
      </c>
      <c r="F5">
        <f t="shared" si="0"/>
        <v>1672.0000000000002</v>
      </c>
      <c r="G5">
        <f>E5/8</f>
        <v>125</v>
      </c>
      <c r="H5" s="1">
        <f>F5/8</f>
        <v>209.00000000000003</v>
      </c>
      <c r="I5">
        <f>AVERAGE(E5:F5)</f>
        <v>1336</v>
      </c>
      <c r="J5">
        <f>G5+512</f>
        <v>637</v>
      </c>
      <c r="K5" s="1">
        <f>512+H5</f>
        <v>721</v>
      </c>
    </row>
    <row r="6" spans="1:11" x14ac:dyDescent="0.3">
      <c r="A6">
        <v>1</v>
      </c>
      <c r="B6">
        <v>1065.5999999999999</v>
      </c>
      <c r="C6">
        <f>B6-D$5</f>
        <v>563.99999999999989</v>
      </c>
      <c r="D6">
        <f>B6-C$5</f>
        <v>765.59999999999991</v>
      </c>
      <c r="E6">
        <f>C6/0.3</f>
        <v>1879.9999999999998</v>
      </c>
      <c r="F6">
        <f>D6/0.3</f>
        <v>2552</v>
      </c>
      <c r="G6">
        <f t="shared" ref="G6:G12" si="1">E6/8</f>
        <v>234.99999999999997</v>
      </c>
      <c r="H6" s="1">
        <f t="shared" ref="H6:H12" si="2">F6/8</f>
        <v>319</v>
      </c>
      <c r="I6">
        <f t="shared" ref="I6:I12" si="3">AVERAGE(E6:F6)</f>
        <v>2216</v>
      </c>
      <c r="J6">
        <f t="shared" ref="J6:J7" si="4">G6+512</f>
        <v>747</v>
      </c>
      <c r="K6" s="1">
        <f t="shared" ref="K6:K7" si="5">512+H6</f>
        <v>831</v>
      </c>
    </row>
    <row r="7" spans="1:11" x14ac:dyDescent="0.3">
      <c r="A7">
        <v>2</v>
      </c>
      <c r="B7">
        <v>1332</v>
      </c>
      <c r="C7">
        <f t="shared" ref="C7:C8" si="6">B7-D$5</f>
        <v>830.4</v>
      </c>
      <c r="D7">
        <f t="shared" ref="D7:D8" si="7">B7-C$5</f>
        <v>1032</v>
      </c>
      <c r="E7">
        <f t="shared" ref="E7:E8" si="8">C7/0.3</f>
        <v>2768</v>
      </c>
      <c r="F7">
        <f t="shared" ref="F7:F8" si="9">D7/0.3</f>
        <v>3440</v>
      </c>
      <c r="G7">
        <f t="shared" si="1"/>
        <v>346</v>
      </c>
      <c r="H7" s="1">
        <f t="shared" si="2"/>
        <v>430</v>
      </c>
      <c r="I7">
        <f t="shared" si="3"/>
        <v>3104</v>
      </c>
      <c r="J7">
        <f t="shared" si="4"/>
        <v>858</v>
      </c>
      <c r="K7" s="1">
        <f t="shared" si="5"/>
        <v>942</v>
      </c>
    </row>
    <row r="8" spans="1:11" x14ac:dyDescent="0.3">
      <c r="A8">
        <v>3</v>
      </c>
      <c r="B8">
        <v>1600.8</v>
      </c>
      <c r="C8">
        <f t="shared" si="6"/>
        <v>1099.1999999999998</v>
      </c>
      <c r="D8">
        <f t="shared" si="7"/>
        <v>1300.8</v>
      </c>
      <c r="E8">
        <f t="shared" si="8"/>
        <v>3663.9999999999995</v>
      </c>
      <c r="F8">
        <f t="shared" si="9"/>
        <v>4336</v>
      </c>
      <c r="G8">
        <f t="shared" si="1"/>
        <v>457.99999999999994</v>
      </c>
      <c r="H8" s="1">
        <f t="shared" si="2"/>
        <v>542</v>
      </c>
      <c r="I8">
        <f t="shared" si="3"/>
        <v>4000</v>
      </c>
      <c r="J8" s="1">
        <f>G8+512</f>
        <v>970</v>
      </c>
      <c r="K8" s="1">
        <f>H8-512</f>
        <v>30</v>
      </c>
    </row>
    <row r="9" spans="1:11" x14ac:dyDescent="0.3">
      <c r="A9">
        <v>4</v>
      </c>
      <c r="B9">
        <f>B6</f>
        <v>1065.5999999999999</v>
      </c>
      <c r="C9">
        <f>B9+C$5</f>
        <v>1365.6</v>
      </c>
      <c r="D9">
        <f>B9+D$5</f>
        <v>1567.1999999999998</v>
      </c>
      <c r="E9">
        <f t="shared" si="0"/>
        <v>4552</v>
      </c>
      <c r="F9">
        <f t="shared" si="0"/>
        <v>5224</v>
      </c>
      <c r="G9">
        <f t="shared" si="1"/>
        <v>569</v>
      </c>
      <c r="H9" s="1">
        <f t="shared" si="2"/>
        <v>653</v>
      </c>
      <c r="I9">
        <f t="shared" si="3"/>
        <v>4888</v>
      </c>
      <c r="J9" s="1">
        <f>G9-512</f>
        <v>57</v>
      </c>
      <c r="K9" s="1">
        <f t="shared" ref="K9:K12" si="10">H9-512</f>
        <v>141</v>
      </c>
    </row>
    <row r="10" spans="1:11" x14ac:dyDescent="0.3">
      <c r="A10">
        <v>5</v>
      </c>
      <c r="B10">
        <f>B7</f>
        <v>1332</v>
      </c>
      <c r="C10">
        <f>B10+C$5</f>
        <v>1632</v>
      </c>
      <c r="D10">
        <f>B10+D$5</f>
        <v>1833.6</v>
      </c>
      <c r="E10">
        <f t="shared" si="0"/>
        <v>5440</v>
      </c>
      <c r="F10">
        <f t="shared" si="0"/>
        <v>6112</v>
      </c>
      <c r="G10">
        <f t="shared" si="1"/>
        <v>680</v>
      </c>
      <c r="H10" s="1">
        <f t="shared" si="2"/>
        <v>764</v>
      </c>
      <c r="I10">
        <f t="shared" si="3"/>
        <v>5776</v>
      </c>
      <c r="J10" s="1">
        <f t="shared" ref="J10:J12" si="11">G10-512</f>
        <v>168</v>
      </c>
      <c r="K10" s="1">
        <f t="shared" si="10"/>
        <v>252</v>
      </c>
    </row>
    <row r="11" spans="1:11" x14ac:dyDescent="0.3">
      <c r="A11">
        <v>6</v>
      </c>
      <c r="B11">
        <f>B8</f>
        <v>1600.8</v>
      </c>
      <c r="C11">
        <f>B11+C$5</f>
        <v>1900.8</v>
      </c>
      <c r="D11">
        <f>B11+D$5</f>
        <v>2102.4</v>
      </c>
      <c r="E11">
        <f t="shared" si="0"/>
        <v>6336</v>
      </c>
      <c r="F11">
        <f t="shared" si="0"/>
        <v>7008.0000000000009</v>
      </c>
      <c r="G11">
        <f t="shared" si="1"/>
        <v>792</v>
      </c>
      <c r="H11" s="1">
        <f t="shared" si="2"/>
        <v>876.00000000000011</v>
      </c>
      <c r="I11">
        <f t="shared" si="3"/>
        <v>6672</v>
      </c>
      <c r="J11" s="1">
        <f t="shared" si="11"/>
        <v>280</v>
      </c>
      <c r="K11" s="1">
        <f t="shared" si="10"/>
        <v>364.00000000000011</v>
      </c>
    </row>
    <row r="12" spans="1:11" x14ac:dyDescent="0.3">
      <c r="A12">
        <v>7</v>
      </c>
      <c r="B12">
        <v>1864.8</v>
      </c>
      <c r="C12">
        <f>B12+C$5</f>
        <v>2164.8000000000002</v>
      </c>
      <c r="D12">
        <f>B12+D$5</f>
        <v>2366.4</v>
      </c>
      <c r="E12">
        <f t="shared" si="0"/>
        <v>7216.0000000000009</v>
      </c>
      <c r="F12">
        <f t="shared" si="0"/>
        <v>7888.0000000000009</v>
      </c>
      <c r="G12">
        <f t="shared" si="1"/>
        <v>902.00000000000011</v>
      </c>
      <c r="H12" s="1">
        <f t="shared" si="2"/>
        <v>986.00000000000011</v>
      </c>
      <c r="I12">
        <f t="shared" si="3"/>
        <v>7552.0000000000009</v>
      </c>
      <c r="J12" s="1">
        <f t="shared" si="11"/>
        <v>390.00000000000011</v>
      </c>
      <c r="K12" s="1">
        <f t="shared" si="10"/>
        <v>474.00000000000011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Aldo Pollarolo Buschmann (bruno.pollarolo)</dc:creator>
  <cp:lastModifiedBy>Bruno Aldo Pollarolo Buschmann (bruno.pollarolo)</cp:lastModifiedBy>
  <dcterms:created xsi:type="dcterms:W3CDTF">2025-09-18T15:34:00Z</dcterms:created>
  <dcterms:modified xsi:type="dcterms:W3CDTF">2025-10-08T12:42:02Z</dcterms:modified>
</cp:coreProperties>
</file>